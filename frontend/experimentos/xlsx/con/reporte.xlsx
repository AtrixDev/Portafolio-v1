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<sst xmlns="http://schemas.openxmlformats.org/spreadsheetml/2006/main" count="47" uniqueCount="40">
  <si>
    <t xml:space="preserve">Reporte de desempeño – Tienda en Mercado Libre</t>
  </si>
  <si>
    <t xml:space="preserve">Junio a noviembre de 2025 · Importes en pesos argentinos</t>
  </si>
  <si>
    <t xml:space="preserve">Ventas totales</t>
  </si>
  <si>
    <t xml:space="preserve">Conversión promedio</t>
  </si>
  <si>
    <t xml:space="preserve">ACOS del período</t>
  </si>
  <si>
    <t xml:space="preserve">Ventas por $ de publicidad</t>
  </si>
  <si>
    <t xml:space="preserve">Cómo evolucionó: primer mes vs. último mes</t>
  </si>
  <si>
    <t xml:space="preserve">Indicador</t>
  </si>
  <si>
    <t xml:space="preserve">Junio</t>
  </si>
  <si>
    <t xml:space="preserve">Noviembre</t>
  </si>
  <si>
    <t xml:space="preserve">Variación</t>
  </si>
  <si>
    <t xml:space="preserve">Ventas ($)</t>
  </si>
  <si>
    <t xml:space="preserve">Unidades</t>
  </si>
  <si>
    <t xml:space="preserve">Visitas</t>
  </si>
  <si>
    <t xml:space="preserve">Publicidad ($)</t>
  </si>
  <si>
    <t xml:space="preserve">Conversión</t>
  </si>
  <si>
    <t xml:space="preserve">ACOS</t>
  </si>
  <si>
    <t xml:space="preserve">Ticket promedio ($)</t>
  </si>
  <si>
    <t xml:space="preserve">pp = puntos porcentuales.</t>
  </si>
  <si>
    <t xml:space="preserve">Lo más importante</t>
  </si>
  <si>
    <t xml:space="preserve">• Las ventas crecieron cerca de 39% entre junio y noviembre, mes a mes sin ninguna caída.</t>
  </si>
  <si>
    <t xml:space="preserve">• El ACOS bajó de 30% a 12%: hoy se gasta $12 en publicidad por cada $100 vendidos, contra $30 en junio.</t>
  </si>
  <si>
    <t xml:space="preserve">• Se invirtió 44% menos en publicidad y aun así se vendió más: el crecimiento no dependió de gastar más.</t>
  </si>
  <si>
    <t xml:space="preserve">• La conversión mejoró de 2,91% a 3,08% (máximo de 3,10% en octubre); noviembre se mantuvo estable.</t>
  </si>
  <si>
    <t xml:space="preserve">• Las visitas subieron 24%, el ticket promedio se mantuvo en torno a $13.000–$13.900.</t>
  </si>
  <si>
    <t xml:space="preserve">Datos mensuales y métricas calculadas</t>
  </si>
  <si>
    <t xml:space="preserve">Mes</t>
  </si>
  <si>
    <t xml:space="preserve">Ventas por $ de publicidad (ROAS)</t>
  </si>
  <si>
    <t xml:space="preserve">Junio 2025</t>
  </si>
  <si>
    <t xml:space="preserve">Julio 2025</t>
  </si>
  <si>
    <t xml:space="preserve">Agosto 2025</t>
  </si>
  <si>
    <t xml:space="preserve">Septiembre 2025</t>
  </si>
  <si>
    <t xml:space="preserve">Octubre 2025</t>
  </si>
  <si>
    <t xml:space="preserve">Noviembre 2025</t>
  </si>
  <si>
    <t xml:space="preserve">Total / promedio del período</t>
  </si>
  <si>
    <t xml:space="preserve">Notas y supuestos:</t>
  </si>
  <si>
    <t xml:space="preserve">• Los datos en azul vienen de ventas.csv (ventas y publicidad en pesos argentinos).</t>
  </si>
  <si>
    <t xml:space="preserve">• Conversión = unidades vendidas ÷ visitas. Se usan unidades porque el archivo no trae cantidad de órdenes; si una orden tiene varias unidades, la conversión real por orden es algo menor.</t>
  </si>
  <si>
    <t xml:space="preserve">• ACOS = inversión en publicidad ÷ ventas. Cuanto más bajo, mejor: es cuánto de cada $100 vendidos se gasta en publicidad.</t>
  </si>
  <si>
    <t xml:space="preserve">• ROAS = ventas ÷ publicidad (inversa del ACOS). Ticket promedio = ventas ÷ unidades.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</si>
</sst>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$ &quot;#,##0"/>
    <numFmt numFmtId="166" formatCode="0.00\ %"/>
    <numFmt numFmtId="167" formatCode="0.0%"/>
    <numFmt numFmtId="168" formatCode="0.0\x"/>
    <numFmt numFmtId="169" formatCode="\+0.0%;\-0.0%;0.0%"/>
    <numFmt numFmtId="170" formatCode="#,##0"/>
    <numFmt numFmtId="171" formatCode="\+0.00&quot; pp&quot;;\-0.00&quot; pp&quot;;0.00&quot; pp&quot;"/>
    <numFmt numFmtId="172" formatCode="0%"/>
    <numFmt numFmtId="173" formatCode="0\x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EEF2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y publicidad por mes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Datos!B3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Datos!$A$4:$A$9</c:f>
              <c:strCache>
                <c:ptCount val="6"/>
                <c:pt idx="0">
                  <c:v>Junio 2025</c:v>
                </c:pt>
                <c:pt idx="1">
                  <c:v>Julio 2025</c:v>
                </c:pt>
                <c:pt idx="2">
                  <c:v>Agosto 2025</c:v>
                </c:pt>
                <c:pt idx="3">
                  <c:v>Septiembre 2025</c:v>
                </c:pt>
                <c:pt idx="4">
                  <c:v>Octubre 2025</c:v>
                </c:pt>
                <c:pt idx="5">
                  <c:v>Noviembre 2025</c:v>
                </c:pt>
              </c:strCache>
            </c:strRef>
          </c:cat>
          <c:val>
            <c:numRef>
              <c:f>Datos!$B$4:$B$9</c:f>
              <c:numCache>
                <c:formatCode>"$ "#,##0</c:formatCode>
                <c:ptCount val="6"/>
                <c:pt idx="0">
                  <c:v>18420300</c:v>
                </c:pt>
                <c:pt idx="1">
                  <c:v>19880150</c:v>
                </c:pt>
                <c:pt idx="2">
                  <c:v>21104700</c:v>
                </c:pt>
                <c:pt idx="3">
                  <c:v>22950420</c:v>
                </c:pt>
                <c:pt idx="4">
                  <c:v>24310900</c:v>
                </c:pt>
                <c:pt idx="5">
                  <c:v>25601200</c:v>
                </c:pt>
              </c:numCache>
            </c:numRef>
          </c:val>
        </c:ser>
        <c:ser>
          <c:idx val="1"/>
          <c:order val="1"/>
          <c:tx>
            <c:strRef>
              <c:f>Datos!E3</c:f>
              <c:strCache>
                <c:ptCount val="1"/>
                <c:pt idx="0">
                  <c:v>Publicidad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Datos!$A$4:$A$9</c:f>
              <c:strCache>
                <c:ptCount val="6"/>
                <c:pt idx="0">
                  <c:v>Junio 2025</c:v>
                </c:pt>
                <c:pt idx="1">
                  <c:v>Julio 2025</c:v>
                </c:pt>
                <c:pt idx="2">
                  <c:v>Agosto 2025</c:v>
                </c:pt>
                <c:pt idx="3">
                  <c:v>Septiembre 2025</c:v>
                </c:pt>
                <c:pt idx="4">
                  <c:v>Octubre 2025</c:v>
                </c:pt>
                <c:pt idx="5">
                  <c:v>Noviembre 2025</c:v>
                </c:pt>
              </c:strCache>
            </c:strRef>
          </c:cat>
          <c:val>
            <c:numRef>
              <c:f>Datos!$E$4:$E$9</c:f>
              <c:numCache>
                <c:formatCode>"$ "#,##0</c:formatCode>
                <c:ptCount val="6"/>
                <c:pt idx="0">
                  <c:v>5526090</c:v>
                </c:pt>
                <c:pt idx="1">
                  <c:v>4771236</c:v>
                </c:pt>
                <c:pt idx="2">
                  <c:v>3587799</c:v>
                </c:pt>
                <c:pt idx="3">
                  <c:v>3212059</c:v>
                </c:pt>
                <c:pt idx="4">
                  <c:v>3160417</c:v>
                </c:pt>
                <c:pt idx="5">
                  <c:v>3072144</c:v>
                </c:pt>
              </c:numCache>
            </c:numRef>
          </c:val>
        </c:ser>
        <c:gapWidth val="150"/>
        <c:overlap val="0"/>
        <c:axId val="27268356"/>
        <c:axId val="49268674"/>
      </c:barChart>
      <c:catAx>
        <c:axId val="272683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68674"/>
        <c:crosses val="autoZero"/>
        <c:auto val="1"/>
        <c:lblAlgn val="ctr"/>
        <c:lblOffset val="100"/>
        <c:noMultiLvlLbl val="0"/>
      </c:catAx>
      <c:valAx>
        <c:axId val="49268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683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ACOS (menor es mejor)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Datos!G3</c:f>
              <c:strCache>
                <c:ptCount val="1"/>
                <c:pt idx="0">
                  <c:v>ACOS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Datos!$A$4:$A$9</c:f>
              <c:strCache>
                <c:ptCount val="6"/>
                <c:pt idx="0">
                  <c:v>Junio 2025</c:v>
                </c:pt>
                <c:pt idx="1">
                  <c:v>Julio 2025</c:v>
                </c:pt>
                <c:pt idx="2">
                  <c:v>Agosto 2025</c:v>
                </c:pt>
                <c:pt idx="3">
                  <c:v>Septiembre 2025</c:v>
                </c:pt>
                <c:pt idx="4">
                  <c:v>Octubre 2025</c:v>
                </c:pt>
                <c:pt idx="5">
                  <c:v>Noviembre 2025</c:v>
                </c:pt>
              </c:strCache>
            </c:strRef>
          </c:cat>
          <c:val>
            <c:numRef>
              <c:f>Datos!$G$4:$G$9</c:f>
              <c:numCache>
                <c:formatCode>0.00\ %</c:formatCode>
                <c:ptCount val="6"/>
                <c:pt idx="0">
                  <c:v>0.3</c:v>
                </c:pt>
                <c:pt idx="1">
                  <c:v>0.24</c:v>
                </c:pt>
                <c:pt idx="2">
                  <c:v>0.17</c:v>
                </c:pt>
                <c:pt idx="3">
                  <c:v>0.139956436527088</c:v>
                </c:pt>
                <c:pt idx="4">
                  <c:v>0.13</c:v>
                </c:pt>
                <c:pt idx="5">
                  <c:v>0.12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354709"/>
        <c:axId val="53048757"/>
      </c:lineChart>
      <c:catAx>
        <c:axId val="413547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48757"/>
        <c:crosses val="autoZero"/>
        <c:auto val="1"/>
        <c:lblAlgn val="ctr"/>
        <c:lblOffset val="100"/>
        <c:noMultiLvlLbl val="0"/>
      </c:catAx>
      <c:valAx>
        <c:axId val="53048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547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Conversión (unidades ÷ visitas)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Datos!F3</c:f>
              <c:strCache>
                <c:ptCount val="1"/>
                <c:pt idx="0">
                  <c:v>Conversión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Datos!$A$4:$A$9</c:f>
              <c:strCache>
                <c:ptCount val="6"/>
                <c:pt idx="0">
                  <c:v>Junio 2025</c:v>
                </c:pt>
                <c:pt idx="1">
                  <c:v>Julio 2025</c:v>
                </c:pt>
                <c:pt idx="2">
                  <c:v>Agosto 2025</c:v>
                </c:pt>
                <c:pt idx="3">
                  <c:v>Septiembre 2025</c:v>
                </c:pt>
                <c:pt idx="4">
                  <c:v>Octubre 2025</c:v>
                </c:pt>
                <c:pt idx="5">
                  <c:v>Noviembre 2025</c:v>
                </c:pt>
              </c:strCache>
            </c:strRef>
          </c:cat>
          <c:val>
            <c:numRef>
              <c:f>Datos!$F$4:$F$9</c:f>
              <c:numCache>
                <c:formatCode>0.00\ %</c:formatCode>
                <c:ptCount val="6"/>
                <c:pt idx="0">
                  <c:v>0.0290811035054968</c:v>
                </c:pt>
                <c:pt idx="1">
                  <c:v>0.0294026075111889</c:v>
                </c:pt>
                <c:pt idx="2">
                  <c:v>0.0300737658407414</c:v>
                </c:pt>
                <c:pt idx="3">
                  <c:v>0.030878084179971</c:v>
                </c:pt>
                <c:pt idx="4">
                  <c:v>0.0310201249132547</c:v>
                </c:pt>
                <c:pt idx="5">
                  <c:v>0.0307769256418806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719756"/>
        <c:axId val="76429682"/>
      </c:lineChart>
      <c:catAx>
        <c:axId val="35719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29682"/>
        <c:crosses val="autoZero"/>
        <c:auto val="1"/>
        <c:lblAlgn val="ctr"/>
        <c:lblOffset val="100"/>
        <c:noMultiLvlLbl val="0"/>
      </c:catAx>
      <c:valAx>
        <c:axId val="764296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197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$ invertido en publicidad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Datos!I3</c:f>
              <c:strCache>
                <c:ptCount val="1"/>
                <c:pt idx="0">
                  <c:v>Ventas por $ de publicidad (ROAS)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Datos!$A$4:$A$9</c:f>
              <c:strCache>
                <c:ptCount val="6"/>
                <c:pt idx="0">
                  <c:v>Junio 2025</c:v>
                </c:pt>
                <c:pt idx="1">
                  <c:v>Julio 2025</c:v>
                </c:pt>
                <c:pt idx="2">
                  <c:v>Agosto 2025</c:v>
                </c:pt>
                <c:pt idx="3">
                  <c:v>Septiembre 2025</c:v>
                </c:pt>
                <c:pt idx="4">
                  <c:v>Octubre 2025</c:v>
                </c:pt>
                <c:pt idx="5">
                  <c:v>Noviembre 2025</c:v>
                </c:pt>
              </c:strCache>
            </c:strRef>
          </c:cat>
          <c:val>
            <c:numRef>
              <c:f>Datos!$I$4:$I$9</c:f>
              <c:numCache>
                <c:formatCode>0.0\x</c:formatCode>
                <c:ptCount val="6"/>
                <c:pt idx="0">
                  <c:v>3.33333333333333</c:v>
                </c:pt>
                <c:pt idx="1">
                  <c:v>4.16666666666667</c:v>
                </c:pt>
                <c:pt idx="2">
                  <c:v>5.88235294117647</c:v>
                </c:pt>
                <c:pt idx="3">
                  <c:v>7.14508046085081</c:v>
                </c:pt>
                <c:pt idx="4">
                  <c:v>7.69230769230769</c:v>
                </c:pt>
                <c:pt idx="5">
                  <c:v>8.33333333333333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262224"/>
        <c:axId val="84359196"/>
      </c:lineChart>
      <c:catAx>
        <c:axId val="5426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59196"/>
        <c:crosses val="autoZero"/>
        <c:auto val="1"/>
        <c:lblAlgn val="ctr"/>
        <c:lblOffset val="100"/>
        <c:noMultiLvlLbl val="0"/>
      </c:catAx>
      <c:valAx>
        <c:axId val="84359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62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100800</xdr:rowOff>
    </xdr:from>
    <xdr:to>
      <xdr:col>3</xdr:col>
      <xdr:colOff>599040</xdr:colOff>
      <xdr:row>38</xdr:row>
      <xdr:rowOff>133560</xdr:rowOff>
    </xdr:to>
    <xdr:graphicFrame>
      <xdr:nvGraphicFramePr>
        <xdr:cNvPr id="0" name="Chart 1"/>
        <xdr:cNvGraphicFramePr/>
      </xdr:nvGraphicFramePr>
      <xdr:xfrm>
        <a:off x="0" y="4952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24</xdr:row>
      <xdr:rowOff>100800</xdr:rowOff>
    </xdr:from>
    <xdr:to>
      <xdr:col>7</xdr:col>
      <xdr:colOff>1079280</xdr:colOff>
      <xdr:row>38</xdr:row>
      <xdr:rowOff>133560</xdr:rowOff>
    </xdr:to>
    <xdr:graphicFrame>
      <xdr:nvGraphicFramePr>
        <xdr:cNvPr id="1" name="Chart 2"/>
        <xdr:cNvGraphicFramePr/>
      </xdr:nvGraphicFramePr>
      <xdr:xfrm>
        <a:off x="6240960" y="4952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100800</xdr:rowOff>
    </xdr:from>
    <xdr:to>
      <xdr:col>3</xdr:col>
      <xdr:colOff>599040</xdr:colOff>
      <xdr:row>54</xdr:row>
      <xdr:rowOff>133560</xdr:rowOff>
    </xdr:to>
    <xdr:graphicFrame>
      <xdr:nvGraphicFramePr>
        <xdr:cNvPr id="2" name="Chart 3"/>
        <xdr:cNvGraphicFramePr/>
      </xdr:nvGraphicFramePr>
      <xdr:xfrm>
        <a:off x="0" y="8001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40</xdr:row>
      <xdr:rowOff>100800</xdr:rowOff>
    </xdr:from>
    <xdr:to>
      <xdr:col>7</xdr:col>
      <xdr:colOff>1079280</xdr:colOff>
      <xdr:row>54</xdr:row>
      <xdr:rowOff>133560</xdr:rowOff>
    </xdr:to>
    <xdr:graphicFrame>
      <xdr:nvGraphicFramePr>
        <xdr:cNvPr id="3" name="Chart 4"/>
        <xdr:cNvGraphicFramePr/>
      </xdr:nvGraphicFramePr>
      <xdr:xfrm>
        <a:off x="6240960" y="8001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0" hidden="false" customHeight="true" outlineLevel="0" collapsed="false">
      <c r="A5" s="4" t="n">
        <f aca="false">Datos!B10</f>
        <v>132267670</v>
      </c>
      <c r="B5" s="4"/>
      <c r="C5" s="5" t="n">
        <f aca="false">Datos!F10</f>
        <v>0.0302542972233326</v>
      </c>
      <c r="D5" s="5"/>
      <c r="E5" s="6" t="n">
        <f aca="false">Datos!G10</f>
        <v>0.176382822801672</v>
      </c>
      <c r="F5" s="6"/>
      <c r="G5" s="7" t="n">
        <f aca="false">Datos!I10</f>
        <v>5.66948631457395</v>
      </c>
      <c r="H5" s="7"/>
    </row>
    <row r="7" customFormat="false" ht="15" hidden="false" customHeight="false" outlineLevel="0" collapsed="false">
      <c r="A7" s="8" t="s">
        <v>6</v>
      </c>
    </row>
    <row r="8" customFormat="false" ht="15" hidden="false" customHeight="false" outlineLevel="0" collapsed="false">
      <c r="A8" s="9" t="s">
        <v>7</v>
      </c>
      <c r="B8" s="9" t="s">
        <v>8</v>
      </c>
      <c r="C8" s="9" t="s">
        <v>9</v>
      </c>
      <c r="D8" s="9" t="s">
        <v>10</v>
      </c>
    </row>
    <row r="9" customFormat="false" ht="15" hidden="false" customHeight="false" outlineLevel="0" collapsed="false">
      <c r="A9" s="10" t="s">
        <v>11</v>
      </c>
      <c r="B9" s="11" t="n">
        <f aca="false">Datos!B4</f>
        <v>18420300</v>
      </c>
      <c r="C9" s="11" t="n">
        <f aca="false">Datos!B9</f>
        <v>25601200</v>
      </c>
      <c r="D9" s="12" t="n">
        <f aca="false">IFERROR(C9/B9-1,0)</f>
        <v>0.389836213308144</v>
      </c>
    </row>
    <row r="10" customFormat="false" ht="15" hidden="false" customHeight="false" outlineLevel="0" collapsed="false">
      <c r="A10" s="13" t="s">
        <v>12</v>
      </c>
      <c r="B10" s="14" t="n">
        <f aca="false">Datos!C4</f>
        <v>1402</v>
      </c>
      <c r="C10" s="14" t="n">
        <f aca="false">Datos!C9</f>
        <v>1846</v>
      </c>
      <c r="D10" s="15" t="n">
        <f aca="false">IFERROR(C10/B10-1,0)</f>
        <v>0.316690442225392</v>
      </c>
    </row>
    <row r="11" customFormat="false" ht="15" hidden="false" customHeight="false" outlineLevel="0" collapsed="false">
      <c r="A11" s="10" t="s">
        <v>13</v>
      </c>
      <c r="B11" s="16" t="n">
        <f aca="false">Datos!D4</f>
        <v>48210</v>
      </c>
      <c r="C11" s="16" t="n">
        <f aca="false">Datos!D9</f>
        <v>59980</v>
      </c>
      <c r="D11" s="12" t="n">
        <f aca="false">IFERROR(C11/B11-1,0)</f>
        <v>0.244140219871396</v>
      </c>
    </row>
    <row r="12" customFormat="false" ht="15" hidden="false" customHeight="false" outlineLevel="0" collapsed="false">
      <c r="A12" s="13" t="s">
        <v>14</v>
      </c>
      <c r="B12" s="17" t="n">
        <f aca="false">Datos!E4</f>
        <v>5526090</v>
      </c>
      <c r="C12" s="17" t="n">
        <f aca="false">Datos!E9</f>
        <v>3072144</v>
      </c>
      <c r="D12" s="15" t="n">
        <f aca="false">IFERROR(C12/B12-1,0)</f>
        <v>-0.444065514676743</v>
      </c>
    </row>
    <row r="13" customFormat="false" ht="15" hidden="false" customHeight="false" outlineLevel="0" collapsed="false">
      <c r="A13" s="10" t="s">
        <v>15</v>
      </c>
      <c r="B13" s="18" t="n">
        <f aca="false">Datos!F4</f>
        <v>0.0290811035054968</v>
      </c>
      <c r="C13" s="18" t="n">
        <f aca="false">Datos!F9</f>
        <v>0.0307769256418806</v>
      </c>
      <c r="D13" s="19" t="n">
        <f aca="false">(C13-B13)*100</f>
        <v>0.169582213638384</v>
      </c>
    </row>
    <row r="14" customFormat="false" ht="15" hidden="false" customHeight="false" outlineLevel="0" collapsed="false">
      <c r="A14" s="13" t="s">
        <v>16</v>
      </c>
      <c r="B14" s="20" t="n">
        <f aca="false">Datos!G4</f>
        <v>0.3</v>
      </c>
      <c r="C14" s="20" t="n">
        <f aca="false">Datos!G9</f>
        <v>0.12</v>
      </c>
      <c r="D14" s="21" t="n">
        <f aca="false">(C14-B14)*100</f>
        <v>-18</v>
      </c>
    </row>
    <row r="15" customFormat="false" ht="15" hidden="false" customHeight="false" outlineLevel="0" collapsed="false">
      <c r="A15" s="10" t="s">
        <v>17</v>
      </c>
      <c r="B15" s="11" t="n">
        <f aca="false">Datos!H4</f>
        <v>13138.5877318117</v>
      </c>
      <c r="C15" s="11" t="n">
        <f aca="false">Datos!H9</f>
        <v>13868.4723726977</v>
      </c>
      <c r="D15" s="12" t="n">
        <f aca="false">IFERROR(C15/B15-1,0)</f>
        <v>0.0555527470520139</v>
      </c>
    </row>
    <row r="17" customFormat="false" ht="15" hidden="false" customHeight="false" outlineLevel="0" collapsed="false">
      <c r="A17" s="22" t="s">
        <v>18</v>
      </c>
    </row>
    <row r="19" customFormat="false" ht="15" hidden="false" customHeight="false" outlineLevel="0" collapsed="false">
      <c r="A19" s="8" t="s">
        <v>19</v>
      </c>
    </row>
    <row r="20" customFormat="false" ht="15" hidden="false" customHeight="false" outlineLevel="0" collapsed="false">
      <c r="A20" s="23" t="s">
        <v>20</v>
      </c>
    </row>
    <row r="21" customFormat="false" ht="15" hidden="false" customHeight="false" outlineLevel="0" collapsed="false">
      <c r="A21" s="23" t="s">
        <v>21</v>
      </c>
    </row>
    <row r="22" customFormat="false" ht="15" hidden="false" customHeight="false" outlineLevel="0" collapsed="false">
      <c r="A22" s="23" t="s">
        <v>22</v>
      </c>
    </row>
    <row r="23" customFormat="false" ht="15" hidden="false" customHeight="false" outlineLevel="0" collapsed="false">
      <c r="A23" s="23" t="s">
        <v>23</v>
      </c>
    </row>
    <row r="24" customFormat="false" ht="15" hidden="false" customHeight="false" outlineLevel="0" collapsed="false">
      <c r="A24" s="23" t="s">
        <v>24</v>
      </c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7"/>
  </cols>
  <sheetData>
    <row r="1" customFormat="false" ht="17.35" hidden="false" customHeight="false" outlineLevel="0" collapsed="false">
      <c r="A1" s="24" t="s">
        <v>25</v>
      </c>
    </row>
    <row r="3" customFormat="false" ht="45" hidden="false" customHeight="true" outlineLevel="0" collapsed="false">
      <c r="A3" s="25" t="s">
        <v>26</v>
      </c>
      <c r="B3" s="25" t="s">
        <v>11</v>
      </c>
      <c r="C3" s="25" t="s">
        <v>12</v>
      </c>
      <c r="D3" s="25" t="s">
        <v>13</v>
      </c>
      <c r="E3" s="25" t="s">
        <v>14</v>
      </c>
      <c r="F3" s="25" t="s">
        <v>15</v>
      </c>
      <c r="G3" s="25" t="s">
        <v>16</v>
      </c>
      <c r="H3" s="25" t="s">
        <v>17</v>
      </c>
      <c r="I3" s="25" t="s">
        <v>27</v>
      </c>
    </row>
    <row r="4" customFormat="false" ht="15" hidden="false" customHeight="false" outlineLevel="0" collapsed="false">
      <c r="A4" s="10" t="s">
        <v>28</v>
      </c>
      <c r="B4" s="26" t="n">
        <v>18420300</v>
      </c>
      <c r="C4" s="27" t="n">
        <v>1402</v>
      </c>
      <c r="D4" s="27" t="n">
        <v>48210</v>
      </c>
      <c r="E4" s="26" t="n">
        <v>5526090</v>
      </c>
      <c r="F4" s="18" t="n">
        <f aca="false">IFERROR(C4/D4,0)</f>
        <v>0.0290811035054968</v>
      </c>
      <c r="G4" s="18" t="n">
        <f aca="false">IFERROR(E4/B4,0)</f>
        <v>0.3</v>
      </c>
      <c r="H4" s="11" t="n">
        <f aca="false">IFERROR(B4/C4,0)</f>
        <v>13138.5877318117</v>
      </c>
      <c r="I4" s="28" t="n">
        <f aca="false">IFERROR(B4/E4,0)</f>
        <v>3.33333333333333</v>
      </c>
    </row>
    <row r="5" customFormat="false" ht="15" hidden="false" customHeight="false" outlineLevel="0" collapsed="false">
      <c r="A5" s="13" t="s">
        <v>29</v>
      </c>
      <c r="B5" s="29" t="n">
        <v>19880150</v>
      </c>
      <c r="C5" s="30" t="n">
        <v>1511</v>
      </c>
      <c r="D5" s="30" t="n">
        <v>51390</v>
      </c>
      <c r="E5" s="29" t="n">
        <v>4771236</v>
      </c>
      <c r="F5" s="31" t="n">
        <f aca="false">IFERROR(C5/D5,0)</f>
        <v>0.0294026075111889</v>
      </c>
      <c r="G5" s="31" t="n">
        <f aca="false">IFERROR(E5/B5,0)</f>
        <v>0.24</v>
      </c>
      <c r="H5" s="17" t="n">
        <f aca="false">IFERROR(B5/C5,0)</f>
        <v>13156.9490403706</v>
      </c>
      <c r="I5" s="32" t="n">
        <f aca="false">IFERROR(B5/E5,0)</f>
        <v>4.16666666666667</v>
      </c>
    </row>
    <row r="6" customFormat="false" ht="15" hidden="false" customHeight="false" outlineLevel="0" collapsed="false">
      <c r="A6" s="10" t="s">
        <v>30</v>
      </c>
      <c r="B6" s="26" t="n">
        <v>21104700</v>
      </c>
      <c r="C6" s="27" t="n">
        <v>1590</v>
      </c>
      <c r="D6" s="27" t="n">
        <v>52870</v>
      </c>
      <c r="E6" s="26" t="n">
        <v>3587799</v>
      </c>
      <c r="F6" s="18" t="n">
        <f aca="false">IFERROR(C6/D6,0)</f>
        <v>0.0300737658407414</v>
      </c>
      <c r="G6" s="18" t="n">
        <f aca="false">IFERROR(E6/B6,0)</f>
        <v>0.17</v>
      </c>
      <c r="H6" s="11" t="n">
        <f aca="false">IFERROR(B6/C6,0)</f>
        <v>13273.3962264151</v>
      </c>
      <c r="I6" s="28" t="n">
        <f aca="false">IFERROR(B6/E6,0)</f>
        <v>5.88235294117647</v>
      </c>
    </row>
    <row r="7" customFormat="false" ht="15" hidden="false" customHeight="false" outlineLevel="0" collapsed="false">
      <c r="A7" s="13" t="s">
        <v>31</v>
      </c>
      <c r="B7" s="29" t="n">
        <v>22950420</v>
      </c>
      <c r="C7" s="30" t="n">
        <v>1702</v>
      </c>
      <c r="D7" s="30" t="n">
        <v>55120</v>
      </c>
      <c r="E7" s="29" t="n">
        <v>3212059</v>
      </c>
      <c r="F7" s="31" t="n">
        <f aca="false">IFERROR(C7/D7,0)</f>
        <v>0.030878084179971</v>
      </c>
      <c r="G7" s="31" t="n">
        <f aca="false">IFERROR(E7/B7,0)</f>
        <v>0.139956436527088</v>
      </c>
      <c r="H7" s="17" t="n">
        <f aca="false">IFERROR(B7/C7,0)</f>
        <v>13484.3830787309</v>
      </c>
      <c r="I7" s="32" t="n">
        <f aca="false">IFERROR(B7/E7,0)</f>
        <v>7.14508046085081</v>
      </c>
    </row>
    <row r="8" customFormat="false" ht="15" hidden="false" customHeight="false" outlineLevel="0" collapsed="false">
      <c r="A8" s="10" t="s">
        <v>32</v>
      </c>
      <c r="B8" s="26" t="n">
        <v>24310900</v>
      </c>
      <c r="C8" s="27" t="n">
        <v>1788</v>
      </c>
      <c r="D8" s="27" t="n">
        <v>57640</v>
      </c>
      <c r="E8" s="26" t="n">
        <v>3160417</v>
      </c>
      <c r="F8" s="18" t="n">
        <f aca="false">IFERROR(C8/D8,0)</f>
        <v>0.0310201249132547</v>
      </c>
      <c r="G8" s="18" t="n">
        <f aca="false">IFERROR(E8/B8,0)</f>
        <v>0.13</v>
      </c>
      <c r="H8" s="11" t="n">
        <f aca="false">IFERROR(B8/C8,0)</f>
        <v>13596.7002237136</v>
      </c>
      <c r="I8" s="28" t="n">
        <f aca="false">IFERROR(B8/E8,0)</f>
        <v>7.69230769230769</v>
      </c>
    </row>
    <row r="9" customFormat="false" ht="15" hidden="false" customHeight="false" outlineLevel="0" collapsed="false">
      <c r="A9" s="13" t="s">
        <v>33</v>
      </c>
      <c r="B9" s="29" t="n">
        <v>25601200</v>
      </c>
      <c r="C9" s="30" t="n">
        <v>1846</v>
      </c>
      <c r="D9" s="30" t="n">
        <v>59980</v>
      </c>
      <c r="E9" s="29" t="n">
        <v>3072144</v>
      </c>
      <c r="F9" s="31" t="n">
        <f aca="false">IFERROR(C9/D9,0)</f>
        <v>0.0307769256418806</v>
      </c>
      <c r="G9" s="31" t="n">
        <f aca="false">IFERROR(E9/B9,0)</f>
        <v>0.12</v>
      </c>
      <c r="H9" s="17" t="n">
        <f aca="false">IFERROR(B9/C9,0)</f>
        <v>13868.4723726977</v>
      </c>
      <c r="I9" s="32" t="n">
        <f aca="false">IFERROR(B9/E9,0)</f>
        <v>8.33333333333333</v>
      </c>
    </row>
    <row r="10" customFormat="false" ht="15" hidden="false" customHeight="false" outlineLevel="0" collapsed="false">
      <c r="A10" s="33" t="s">
        <v>34</v>
      </c>
      <c r="B10" s="34" t="n">
        <f aca="false">SUM(B4:B9)</f>
        <v>132267670</v>
      </c>
      <c r="C10" s="35" t="n">
        <f aca="false">SUM(C4:C9)</f>
        <v>9839</v>
      </c>
      <c r="D10" s="35" t="n">
        <f aca="false">SUM(D4:D9)</f>
        <v>325210</v>
      </c>
      <c r="E10" s="34" t="n">
        <f aca="false">SUM(E4:E9)</f>
        <v>23329745</v>
      </c>
      <c r="F10" s="36" t="n">
        <f aca="false">IFERROR(C10/D10,0)</f>
        <v>0.0302542972233326</v>
      </c>
      <c r="G10" s="36" t="n">
        <f aca="false">IFERROR(E10/B10,0)</f>
        <v>0.176382822801672</v>
      </c>
      <c r="H10" s="34" t="n">
        <f aca="false">IFERROR(B10/C10,0)</f>
        <v>13443.2025612359</v>
      </c>
      <c r="I10" s="37" t="n">
        <f aca="false">IFERROR(B10/E10,0)</f>
        <v>5.66948631457395</v>
      </c>
    </row>
    <row r="12" customFormat="false" ht="15" hidden="false" customHeight="false" outlineLevel="0" collapsed="false">
      <c r="A12" s="38" t="s">
        <v>35</v>
      </c>
    </row>
    <row r="13" customFormat="false" ht="15" hidden="false" customHeight="false" outlineLevel="0" collapsed="false">
      <c r="A13" s="39" t="s">
        <v>36</v>
      </c>
    </row>
    <row r="14" customFormat="false" ht="15" hidden="false" customHeight="false" outlineLevel="0" collapsed="false">
      <c r="A14" s="39" t="s">
        <v>37</v>
      </c>
    </row>
    <row r="15" customFormat="false" ht="15" hidden="false" customHeight="false" outlineLevel="0" collapsed="false">
      <c r="A15" s="39" t="s">
        <v>38</v>
      </c>
    </row>
    <row r="16" customFormat="false" ht="15" hidden="false" customHeight="false" outlineLevel="0" collapsed="false">
      <c r="A16" s="3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2026-09-30T19:52:20Z</dcterms:created>
  <dc:creator>openpyxl</dc:creator>
  <dc:description/>
  <dc:language>es-AR</dc:language>
  <cp:lastModifiedBy/>
  <dcterms:modified xsi:type="dcterms:W3CDTF">2026-09-30T16:52:22Z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