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<sst xmlns="http://schemas.openxmlformats.org/spreadsheetml/2006/main" count="31" uniqueCount="31">
  <si>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Reporte de ventas – Mercado Libre</t>
  </si>
  <si>
    <t>Primer semestre de actividad analizado: junio a noviembre de 2025. Montos en pesos argentinos.</t>
  </si>
  <si>
    <t>Mes</t>
  </si>
  <si>
    <t>Ventas ($)</t>
  </si>
  <si>
    <t>Unidades</t>
  </si>
  <si>
    <t>Visitas</t>
  </si>
  <si>
    <t>Publicidad ($)</t>
  </si>
  <si>
    <t>Conversión</t>
  </si>
  <si>
    <t>ACOS</t>
  </si>
  <si>
    <t>Ticket promedio ($)</t>
  </si>
  <si>
    <t>Ventas vs. mes anterior</t>
  </si>
  <si>
    <t>jun 2025</t>
  </si>
  <si>
    <t>–</t>
  </si>
  <si>
    <t>jul 2025</t>
  </si>
  <si>
    <t>ago 2025</t>
  </si>
  <si>
    <t>sep 2025</t>
  </si>
  <si>
    <t>oct 2025</t>
  </si>
  <si>
    <t>nov 2025</t>
  </si>
  <si>
    <t>Total</t>
  </si>
  <si>
    <t>Lo más importante</t>
  </si>
  <si>
    <t>Crecimiento de ventas, jun → nov</t>
  </si>
  <si>
    <t>Conversión en noviembre (era 2,91% en junio)</t>
  </si>
  <si>
    <t>ACOS en noviembre (era 30,0% en junio)</t>
  </si>
  <si>
    <t>Ticket promedio en noviembre</t>
  </si>
  <si>
    <t>Lectura para el dueño</t>
  </si>
  <si>
    <t>• Las ventas crecieron todos los meses: de $18,4 M en junio a $25,6 M en noviembre (+39%).</t>
  </si>
  <si>
    <t>• La conversión mejoró de 2,91% a 3,08% (tocó 3,10% en octubre): de cada 100 visitas, hoy se venden 3 unidades y un poquito más.</t>
  </si>
  <si>
    <t>• El ACOS bajó de 30% a 12%: en junio se gastaba $0,30 en publicidad por cada $1 vendido; hoy $0,12.</t>
  </si>
  <si>
    <t>• Se gastó menos en publicidad (de $5,5 M a $3,1 M) y aun así se vendió más: la inversión se volvió mucho más eficiente.</t>
  </si>
  <si>
    <t>• Ojo: el ticket promedio se mantiene casi igual (~$13.100–$13.900), así que el crecimiento viene de vender más unidades, no de subir precios.</t>
  </si>
  <si>
    <t>• Nota: conversión = unidades ÷ visitas; ACOS = publicidad ÷ ventas. Las cifras de la tabla se calculan con fórmulas.</t>
  </si>
</sst>
</file>

<file path=xl/styles.xml><?xml version="1.0" encoding="utf-8"?>
<styleSheet xmlns="http://schemas.openxmlformats.org/spreadsheetml/2006/main">
  <numFmts count="4">
    <numFmt numFmtId="164" formatCode="&quot;$&quot; #,##0"/>
    <numFmt numFmtId="165" formatCode="#,##0"/>
    <numFmt numFmtId="166" formatCode="0.00%"/>
    <numFmt numFmtId="167" formatCode="0.0%"/>
  </numFmts>
  <fonts count="8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10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horizontal="right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0" fontId="5" fillId="0" borderId="0" xfId="0" applyFont="1"/>
    <xf numFmtId="167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Ventas por mes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Ventas</c:v>
          </c:tx>
          <c:spPr>
            <a:solidFill>
              <a:srgbClr val="2E75B6"/>
            </a:solidFill>
          </c:spPr>
          <c:cat>
            <c:strRef>
              <c:f>Reporte!$A$5:$A$10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ago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Reporte!$B$5:$B$10</c:f>
              <c:numCache>
                <c:formatCode>General</c:formatCode>
                <c:ptCount val="6"/>
                <c:pt idx="0">
                  <c:v>18420300</c:v>
                </c:pt>
                <c:pt idx="1">
                  <c:v>19880150</c:v>
                </c:pt>
                <c:pt idx="2">
                  <c:v>21104700</c:v>
                </c:pt>
                <c:pt idx="3">
                  <c:v>22950420</c:v>
                </c:pt>
                <c:pt idx="4">
                  <c:v>24310900</c:v>
                </c:pt>
                <c:pt idx="5">
                  <c:v>25601200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&quot;$&quot; 0,,&quot;M&quot;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ACOS (publicidad ÷ ventas)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ACOS</c:v>
          </c:tx>
          <c:spPr>
            <a:ln w="31750">
              <a:solidFill>
                <a:srgbClr val="C00000"/>
              </a:solidFill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numFmt formatCode="0%" sourceLinked="0"/>
            <c:dLblPos val="t"/>
            <c:showVal val="1"/>
          </c:dLbls>
          <c:cat>
            <c:strRef>
              <c:f>Reporte!$A$5:$A$10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ago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Reporte!$G$5:$G$10</c:f>
              <c:numCache>
                <c:formatCode>General</c:formatCode>
                <c:ptCount val="6"/>
                <c:pt idx="0">
                  <c:v>0.3</c:v>
                </c:pt>
                <c:pt idx="1">
                  <c:v>0.24</c:v>
                </c:pt>
                <c:pt idx="2">
                  <c:v>0.17</c:v>
                </c:pt>
                <c:pt idx="3">
                  <c:v>0.13995643652708753</c:v>
                </c:pt>
                <c:pt idx="4">
                  <c:v>0.13</c:v>
                </c:pt>
                <c:pt idx="5">
                  <c:v>0.12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Conversión (unidades ÷ visitas)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Conversión</c:v>
          </c:tx>
          <c:spPr>
            <a:ln w="31750">
              <a:solidFill>
                <a:srgbClr val="548235"/>
              </a:solidFill>
            </a:ln>
          </c:spPr>
          <c:marker>
            <c:symbol val="circle"/>
            <c:size val="6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dLbls>
            <c:numFmt formatCode="0.0%" sourceLinked="0"/>
            <c:dLblPos val="t"/>
            <c:showVal val="1"/>
          </c:dLbls>
          <c:cat>
            <c:strRef>
              <c:f>Reporte!$A$5:$A$10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ago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Reporte!$F$5:$F$10</c:f>
              <c:numCache>
                <c:formatCode>General</c:formatCode>
                <c:ptCount val="6"/>
                <c:pt idx="0">
                  <c:v>0.029081103505496784</c:v>
                </c:pt>
                <c:pt idx="1">
                  <c:v>0.029402607511188946</c:v>
                </c:pt>
                <c:pt idx="2">
                  <c:v>0.03007376584074144</c:v>
                </c:pt>
                <c:pt idx="3">
                  <c:v>0.030878084179970972</c:v>
                </c:pt>
                <c:pt idx="4">
                  <c:v>0.031020124913254683</c:v>
                </c:pt>
                <c:pt idx="5">
                  <c:v>0.030776925641880625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0.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Publicidad por mes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Publicidad</c:v>
          </c:tx>
          <c:spPr>
            <a:solidFill>
              <a:srgbClr val="ED7D31"/>
            </a:solidFill>
          </c:spPr>
          <c:cat>
            <c:strRef>
              <c:f>Reporte!$A$5:$A$10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ago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Reporte!$E$5:$E$10</c:f>
              <c:numCache>
                <c:formatCode>General</c:formatCode>
                <c:ptCount val="6"/>
                <c:pt idx="0">
                  <c:v>5526090</c:v>
                </c:pt>
                <c:pt idx="1">
                  <c:v>4771236</c:v>
                </c:pt>
                <c:pt idx="2">
                  <c:v>3587799</c:v>
                </c:pt>
                <c:pt idx="3">
                  <c:v>3212059</c:v>
                </c:pt>
                <c:pt idx="4">
                  <c:v>3160417</c:v>
                </c:pt>
                <c:pt idx="5">
                  <c:v>3072144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&quot;$&quot; 0,,&quot;M&quot;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4</xdr:col>
      <xdr:colOff>1019175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11</xdr:col>
      <xdr:colOff>342900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4</xdr:col>
      <xdr:colOff>1019175</xdr:colOff>
      <xdr:row>54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11</xdr:col>
      <xdr:colOff>342900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4"/>
  <sheetViews>
    <sheetView showGridLines="0" tabSelected="1" workbookViewId="0"/>
  </sheetViews>
  <sheetFormatPr defaultRowHeight="15"/>
  <cols>
    <col min="1" max="1" width="14.7109375" customWidth="1"/>
    <col min="2" max="10" width="15.7109375" customWidth="1"/>
  </cols>
  <sheetData>
    <row r="1" spans="1:9">
      <c r="A1" s="1" t="s">
        <v>0</v>
      </c>
    </row>
    <row r="2" spans="1:9">
      <c r="A2" s="2" t="s">
        <v>1</v>
      </c>
    </row>
    <row r="4" spans="1:9" ht="3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>
        <v>18420300</v>
      </c>
      <c r="C5" s="6">
        <v>1402</v>
      </c>
      <c r="D5" s="6">
        <v>48210</v>
      </c>
      <c r="E5" s="5">
        <v>5526090</v>
      </c>
      <c r="F5" s="7">
        <f>C5/D5</f>
        <v>0.029081103505496784</v>
      </c>
      <c r="G5" s="8">
        <f>E5/B5</f>
        <v>0.3</v>
      </c>
      <c r="H5" s="5">
        <f>B5/C5</f>
        <v>13138.587731811698</v>
      </c>
      <c r="I5" s="9" t="s">
        <v>12</v>
      </c>
    </row>
    <row r="6" spans="1:9">
      <c r="A6" s="4" t="s">
        <v>13</v>
      </c>
      <c r="B6" s="5">
        <v>19880150</v>
      </c>
      <c r="C6" s="6">
        <v>1511</v>
      </c>
      <c r="D6" s="6">
        <v>51390</v>
      </c>
      <c r="E6" s="5">
        <v>4771236</v>
      </c>
      <c r="F6" s="7">
        <f>C6/D6</f>
        <v>0.029402607511188946</v>
      </c>
      <c r="G6" s="8">
        <f>E6/B6</f>
        <v>0.24</v>
      </c>
      <c r="H6" s="5">
        <f>B6/C6</f>
        <v>13156.949040370615</v>
      </c>
      <c r="I6" s="8">
        <f>B6/B5-1</f>
        <v>0.07925223802001047</v>
      </c>
    </row>
    <row r="7" spans="1:9">
      <c r="A7" s="4" t="s">
        <v>14</v>
      </c>
      <c r="B7" s="5">
        <v>21104700</v>
      </c>
      <c r="C7" s="6">
        <v>1590</v>
      </c>
      <c r="D7" s="6">
        <v>52870</v>
      </c>
      <c r="E7" s="5">
        <v>3587799</v>
      </c>
      <c r="F7" s="7">
        <f>C7/D7</f>
        <v>0.03007376584074144</v>
      </c>
      <c r="G7" s="8">
        <f>E7/B7</f>
        <v>0.17</v>
      </c>
      <c r="H7" s="5">
        <f>B7/C7</f>
        <v>13273.396226415094</v>
      </c>
      <c r="I7" s="8">
        <f>B7/B6-1</f>
        <v>0.06159661773175751</v>
      </c>
    </row>
    <row r="8" spans="1:9">
      <c r="A8" s="4" t="s">
        <v>15</v>
      </c>
      <c r="B8" s="5">
        <v>22950420</v>
      </c>
      <c r="C8" s="6">
        <v>1702</v>
      </c>
      <c r="D8" s="6">
        <v>55120</v>
      </c>
      <c r="E8" s="5">
        <v>3212059</v>
      </c>
      <c r="F8" s="7">
        <f>C8/D8</f>
        <v>0.030878084179970972</v>
      </c>
      <c r="G8" s="8">
        <f>E8/B8</f>
        <v>0.13995643652708753</v>
      </c>
      <c r="H8" s="5">
        <f>B8/C8</f>
        <v>13484.383078730905</v>
      </c>
      <c r="I8" s="8">
        <f>B8/B7-1</f>
        <v>0.08745540092965065</v>
      </c>
    </row>
    <row r="9" spans="1:9">
      <c r="A9" s="4" t="s">
        <v>16</v>
      </c>
      <c r="B9" s="5">
        <v>24310900</v>
      </c>
      <c r="C9" s="6">
        <v>1788</v>
      </c>
      <c r="D9" s="6">
        <v>57640</v>
      </c>
      <c r="E9" s="5">
        <v>3160417</v>
      </c>
      <c r="F9" s="7">
        <f>C9/D9</f>
        <v>0.031020124913254683</v>
      </c>
      <c r="G9" s="8">
        <f>E9/B9</f>
        <v>0.13</v>
      </c>
      <c r="H9" s="5">
        <f>B9/C9</f>
        <v>13596.700223713646</v>
      </c>
      <c r="I9" s="8">
        <f>B9/B8-1</f>
        <v>0.05927908944585769</v>
      </c>
    </row>
    <row r="10" spans="1:9">
      <c r="A10" s="4" t="s">
        <v>17</v>
      </c>
      <c r="B10" s="5">
        <v>25601200</v>
      </c>
      <c r="C10" s="6">
        <v>1846</v>
      </c>
      <c r="D10" s="6">
        <v>59980</v>
      </c>
      <c r="E10" s="5">
        <v>3072144</v>
      </c>
      <c r="F10" s="7">
        <f>C10/D10</f>
        <v>0.030776925641880625</v>
      </c>
      <c r="G10" s="8">
        <f>E10/B10</f>
        <v>0.12</v>
      </c>
      <c r="H10" s="5">
        <f>B10/C10</f>
        <v>13868.472372697724</v>
      </c>
      <c r="I10" s="8">
        <f>B10/B9-1</f>
        <v>0.053074958146345885</v>
      </c>
    </row>
    <row r="12" spans="1:9">
      <c r="A12" s="10" t="s">
        <v>18</v>
      </c>
      <c r="B12" s="11">
        <f>SUM(B5:B10)</f>
        <v>132267670.0</v>
      </c>
      <c r="C12" s="12">
        <f>SUM(C5:C10)</f>
        <v>9839.0</v>
      </c>
      <c r="D12" s="12">
        <f>SUM(D5:D10)</f>
        <v>325210.0</v>
      </c>
      <c r="E12" s="11">
        <f>SUM(E5:E10)</f>
        <v>23329745.0</v>
      </c>
      <c r="F12" s="13">
        <f>C12/D12</f>
        <v>0.030254297223332616</v>
      </c>
      <c r="G12" s="14">
        <f>E12/B12</f>
        <v>0.17638282280167178</v>
      </c>
      <c r="H12" s="11">
        <f>B12/C12</f>
        <v>13443.202561235898</v>
      </c>
      <c r="I12" s="10"/>
    </row>
    <row r="14" spans="1:9">
      <c r="A14" s="15" t="s">
        <v>19</v>
      </c>
    </row>
    <row r="15" spans="1:9" ht="30" customHeight="1">
      <c r="A15" s="16">
        <f>B10/B5-1</f>
        <v>0.38983621330814366</v>
      </c>
      <c r="B15" s="16"/>
      <c r="C15" s="17">
        <f>F10</f>
        <v>0.030776925641880625</v>
      </c>
      <c r="D15" s="17"/>
      <c r="E15" s="16">
        <f>G10</f>
        <v>0.12</v>
      </c>
      <c r="F15" s="16"/>
      <c r="G15" s="18">
        <f>H10</f>
        <v>13868.472372697724</v>
      </c>
      <c r="H15" s="18"/>
    </row>
    <row r="16" spans="1:9" ht="30" customHeight="1">
      <c r="A16" s="19" t="s">
        <v>20</v>
      </c>
      <c r="B16" s="19"/>
      <c r="C16" s="19" t="s">
        <v>21</v>
      </c>
      <c r="D16" s="19"/>
      <c r="E16" s="19" t="s">
        <v>22</v>
      </c>
      <c r="F16" s="19"/>
      <c r="G16" s="19" t="s">
        <v>23</v>
      </c>
      <c r="H16" s="19"/>
    </row>
    <row r="18" spans="1:9">
      <c r="A18" s="15" t="s">
        <v>24</v>
      </c>
    </row>
    <row r="19" spans="1:9" ht="18" customHeight="1">
      <c r="A19" s="20" t="s">
        <v>25</v>
      </c>
      <c r="B19" s="20"/>
      <c r="C19" s="20"/>
      <c r="D19" s="20"/>
      <c r="E19" s="20"/>
      <c r="F19" s="20"/>
      <c r="G19" s="20"/>
      <c r="H19" s="20"/>
      <c r="I19" s="20"/>
    </row>
    <row r="20" spans="1:9" ht="32" customHeight="1">
      <c r="A20" s="20" t="s">
        <v>26</v>
      </c>
      <c r="B20" s="20"/>
      <c r="C20" s="20"/>
      <c r="D20" s="20"/>
      <c r="E20" s="20"/>
      <c r="F20" s="20"/>
      <c r="G20" s="20"/>
      <c r="H20" s="20"/>
      <c r="I20" s="20"/>
    </row>
    <row r="21" spans="1:9" ht="18" customHeight="1">
      <c r="A21" s="20" t="s">
        <v>27</v>
      </c>
      <c r="B21" s="20"/>
      <c r="C21" s="20"/>
      <c r="D21" s="20"/>
      <c r="E21" s="20"/>
      <c r="F21" s="20"/>
      <c r="G21" s="20"/>
      <c r="H21" s="20"/>
      <c r="I21" s="20"/>
    </row>
    <row r="22" spans="1:9" ht="32" customHeight="1">
      <c r="A22" s="20" t="s">
        <v>28</v>
      </c>
      <c r="B22" s="20"/>
      <c r="C22" s="20"/>
      <c r="D22" s="20"/>
      <c r="E22" s="20"/>
      <c r="F22" s="20"/>
      <c r="G22" s="20"/>
      <c r="H22" s="20"/>
      <c r="I22" s="20"/>
    </row>
    <row r="23" spans="1:9" ht="32" customHeight="1">
      <c r="A23" s="20" t="s">
        <v>29</v>
      </c>
      <c r="B23" s="20"/>
      <c r="C23" s="20"/>
      <c r="D23" s="20"/>
      <c r="E23" s="20"/>
      <c r="F23" s="20"/>
      <c r="G23" s="20"/>
      <c r="H23" s="20"/>
      <c r="I23" s="20"/>
    </row>
    <row r="24" spans="1:9" ht="32" customHeight="1">
      <c r="A24" s="20" t="s">
        <v>30</v>
      </c>
      <c r="B24" s="20"/>
      <c r="C24" s="20"/>
      <c r="D24" s="20"/>
      <c r="E24" s="20"/>
      <c r="F24" s="20"/>
      <c r="G24" s="20"/>
      <c r="H24" s="20"/>
      <c r="I24" s="20"/>
    </row>
  </sheetData>
  <mergeCells count="14">
    <mergeCell ref="A15:B15"/>
    <mergeCell ref="A16:B16"/>
    <mergeCell ref="C15:D15"/>
    <mergeCell ref="C16:D16"/>
    <mergeCell ref="E15:F15"/>
    <mergeCell ref="E16:F16"/>
    <mergeCell ref="G15:H15"/>
    <mergeCell ref="G16:H16"/>
    <mergeCell ref="A19:I19"/>
    <mergeCell ref="A20:I20"/>
    <mergeCell ref="A21:I21"/>
    <mergeCell ref="A22:I22"/>
    <mergeCell ref="A23:I23"/>
    <mergeCell ref="A24:I24"/>
  </mergeCells>
  <pageMargins left="0.7" right="0.7" top="0.75" bottom="0.7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2026-09-30T19:52:08Z</dcterms:created>
  <dcterms:modified xsi:type="dcterms:W3CDTF">2026-09-30T19:52:08Z</dcterms:modified>
</cp:coreProperties>
</file>